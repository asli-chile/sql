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a4088c883169000b/Escritorio/PROFORMA FRUIT ANDES SUR/"/>
    </mc:Choice>
  </mc:AlternateContent>
  <xr:revisionPtr revIDLastSave="362" documentId="11_1AC36FEEC50D52FD9263A04555FEC3CEF7E21F52" xr6:coauthVersionLast="47" xr6:coauthVersionMax="47" xr10:uidLastSave="{05EF12D8-65A7-47CC-BAD0-70BB6AC9FC11}"/>
  <bookViews>
    <workbookView xWindow="-108" yWindow="-108" windowWidth="23256" windowHeight="13896" tabRatio="50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4" i="1" l="1"/>
  <c r="H24" i="1"/>
  <c r="F23" i="1"/>
  <c r="F22" i="1"/>
  <c r="F21" i="1"/>
  <c r="F17" i="1"/>
  <c r="F16" i="1"/>
  <c r="H23" i="1"/>
  <c r="H38" i="1"/>
  <c r="H22" i="1"/>
  <c r="H21" i="1"/>
  <c r="H20" i="1"/>
  <c r="F20" i="1"/>
  <c r="H19" i="1"/>
  <c r="F19" i="1"/>
  <c r="H18" i="1"/>
  <c r="F18" i="1"/>
  <c r="H17" i="1"/>
  <c r="H16" i="1"/>
  <c r="H15" i="1"/>
  <c r="F15" i="1"/>
  <c r="H39" i="1" l="1"/>
  <c r="D38" i="1"/>
</calcChain>
</file>

<file path=xl/sharedStrings.xml><?xml version="1.0" encoding="utf-8"?>
<sst xmlns="http://schemas.openxmlformats.org/spreadsheetml/2006/main" count="74" uniqueCount="51">
  <si>
    <t xml:space="preserve">      EXP. Y FRUTICOLA FRUIT ANDES SUR LTDA.</t>
  </si>
  <si>
    <t>CALLE 2 MZ B LT 13 LAS ARAUCARIAS COMUNA LINARES - CHILE.</t>
  </si>
  <si>
    <t>Proforma de Exportacion</t>
  </si>
  <si>
    <r>
      <rPr>
        <b/>
        <sz val="9"/>
        <color rgb="FF000000"/>
        <rFont val="Times New Roman"/>
        <family val="1"/>
      </rPr>
      <t xml:space="preserve">RUT </t>
    </r>
    <r>
      <rPr>
        <b/>
        <sz val="9"/>
        <color rgb="FF000000"/>
        <rFont val="宋体-简"/>
        <charset val="134"/>
      </rPr>
      <t>：</t>
    </r>
    <r>
      <rPr>
        <b/>
        <sz val="9"/>
        <color rgb="FF000000"/>
        <rFont val="Times New Roman"/>
        <family val="1"/>
      </rPr>
      <t>77253002-1</t>
    </r>
  </si>
  <si>
    <t>NRO :</t>
  </si>
  <si>
    <t>Email: patricioborlando@gmail.com</t>
  </si>
  <si>
    <t>Consignee</t>
  </si>
  <si>
    <t>Shanghai Fortune Fruits International Trade Co.,Ltd</t>
  </si>
  <si>
    <t>Address</t>
  </si>
  <si>
    <t>USCI</t>
  </si>
  <si>
    <t>Fecha</t>
  </si>
  <si>
    <t>Puerto de Embarque</t>
  </si>
  <si>
    <t>Contenedor</t>
  </si>
  <si>
    <t>Puerto Destino</t>
  </si>
  <si>
    <t>Nave</t>
  </si>
  <si>
    <t>DUS</t>
  </si>
  <si>
    <t>Mod. Venta</t>
  </si>
  <si>
    <t>Clausula de venta</t>
  </si>
  <si>
    <t>VARIEDAD</t>
  </si>
  <si>
    <t>KG NETO / 
CAJA</t>
  </si>
  <si>
    <t>MARK/ LABEL</t>
  </si>
  <si>
    <t>SIZE</t>
  </si>
  <si>
    <t>N° CAJAS</t>
  </si>
  <si>
    <t>KG NETO TOTAL</t>
  </si>
  <si>
    <t>VALOR / 
CAJA</t>
  </si>
  <si>
    <t>VALOR TOTAL</t>
  </si>
  <si>
    <t>Fresh Cherries</t>
  </si>
  <si>
    <t>LAPINS</t>
  </si>
  <si>
    <t>NO MARK</t>
  </si>
  <si>
    <t>3JD</t>
  </si>
  <si>
    <t>NETO TOTAL (KG)</t>
  </si>
  <si>
    <t>CAJA TOTAL</t>
  </si>
  <si>
    <t>Room 104, 1st Floor, Building 7, No.2 Lane 1698, Wangyuan Road, Fengxian District, Shanghai,201403</t>
  </si>
  <si>
    <t>BRUTO TOTAL (KG)</t>
  </si>
  <si>
    <t>Booking</t>
  </si>
  <si>
    <t>FOB</t>
  </si>
  <si>
    <t>FOB TOTAL (USD)</t>
  </si>
  <si>
    <t>BUENAVENTURA EXPRESS - 2446W</t>
  </si>
  <si>
    <t>VALPARAISO / CHILE</t>
  </si>
  <si>
    <t>HONG KONG /CHINA</t>
  </si>
  <si>
    <t>12513463-7</t>
  </si>
  <si>
    <t>EBKG11400305</t>
  </si>
  <si>
    <t xml:space="preserve">SZLU918384-1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</si>
  <si>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KORDIA</t>
  </si>
  <si>
    <t>JD</t>
  </si>
  <si>
    <t>XLD</t>
  </si>
  <si>
    <t>2J</t>
  </si>
  <si>
    <t>2JD</t>
  </si>
  <si>
    <t>LIBRE CONSIGNACIÓN</t>
  </si>
  <si>
    <t>16,185.60</t>
  </si>
  <si>
    <t xml:space="preserve">91310120MAC9519M4P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</si>
</sst>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/mm/yyyy"/>
    <numFmt numFmtId="165" formatCode="0.0_ "/>
    <numFmt numFmtId="166" formatCode="_-&quot;US$&quot;* #,##0.00_ ;_-&quot;US$&quot;* \-#,##0.00\ ;_-&quot;US$&quot;* \-??_ ;_-@_ "/>
    <numFmt numFmtId="167" formatCode="0.00_ "/>
  </numFmts>
  <fonts count="22">
    <font>
      <sz val="12"/>
      <name val="宋体"/>
      <charset val="134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color rgb="FF000000"/>
      <name val="Calibri"/>
      <family val="2"/>
      <charset val="1"/>
    </font>
    <font>
      <b/>
      <sz val="15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宋体-简"/>
      <charset val="134"/>
    </font>
    <font>
      <b/>
      <sz val="9"/>
      <color rgb="FF000000"/>
      <name val="Times New Roman"/>
      <family val="1"/>
      <charset val="1"/>
    </font>
    <font>
      <sz val="9"/>
      <name val="Times New Roman"/>
      <family val="1"/>
    </font>
    <font>
      <sz val="9"/>
      <name val="Times New Roman"/>
      <family val="1"/>
      <charset val="1"/>
    </font>
    <font>
      <sz val="9"/>
      <color rgb="FF000000"/>
      <name val="Times New Roman"/>
      <family val="1"/>
      <charset val="1"/>
    </font>
    <font>
      <sz val="9"/>
      <name val="宋体"/>
      <charset val="134"/>
    </font>
    <font>
      <b/>
      <sz val="9"/>
      <name val="Times New Roman"/>
      <family val="1"/>
    </font>
    <font>
      <sz val="9"/>
      <color theme="1"/>
      <name val="Times New Roman"/>
      <family val="1"/>
      <charset val="1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  <charset val="1"/>
    </font>
    <font>
      <sz val="10"/>
      <color theme="1"/>
      <name val="Times New Roman"/>
      <family val="1"/>
    </font>
    <font>
      <sz val="10"/>
      <color theme="1"/>
      <name val="Times New Roman"/>
      <family val="1"/>
      <charset val="1"/>
    </font>
    <font>
      <b/>
      <sz val="10"/>
      <color rgb="FF000000"/>
      <name val="Times New Roman"/>
      <family val="1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0"/>
      </bottom>
      <diagonal/>
    </border>
    <border>
      <left style="medium">
        <color theme="1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medium">
        <color theme="1"/>
      </right>
      <top/>
      <bottom style="thin">
        <color theme="0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 style="medium">
        <color theme="1"/>
      </bottom>
      <diagonal/>
    </border>
    <border>
      <left style="medium">
        <color theme="1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 style="thin">
        <color theme="0"/>
      </left>
      <right style="medium">
        <color theme="1"/>
      </right>
      <top style="medium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 style="thin">
        <color theme="0"/>
      </bottom>
      <diagonal/>
    </border>
    <border>
      <left style="medium">
        <color theme="1"/>
      </left>
      <right style="medium">
        <color theme="1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 style="medium">
        <color theme="1"/>
      </right>
      <top style="thin">
        <color theme="0"/>
      </top>
      <bottom style="medium">
        <color theme="1"/>
      </bottom>
      <diagonal/>
    </border>
    <border>
      <left style="medium">
        <color theme="1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1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medium">
        <color theme="1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2" fillId="0" borderId="0"/>
    <xf numFmtId="0" fontId="3" fillId="0" borderId="0"/>
  </cellStyleXfs>
  <cellXfs count="8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5" fillId="0" borderId="2" xfId="0" applyFont="1" applyBorder="1">
      <alignment vertical="center"/>
    </xf>
    <xf numFmtId="0" fontId="6" fillId="0" borderId="3" xfId="0" applyFont="1" applyBorder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5" fillId="0" borderId="3" xfId="0" applyFont="1" applyBorder="1" applyAlignment="1">
      <alignment horizontal="right" vertical="center"/>
    </xf>
    <xf numFmtId="0" fontId="6" fillId="0" borderId="4" xfId="0" applyFont="1" applyBorder="1">
      <alignment vertical="center"/>
    </xf>
    <xf numFmtId="0" fontId="5" fillId="0" borderId="5" xfId="0" applyFont="1" applyBorder="1">
      <alignment vertical="center"/>
    </xf>
    <xf numFmtId="0" fontId="6" fillId="0" borderId="6" xfId="0" applyFont="1" applyBorder="1">
      <alignment vertical="center"/>
    </xf>
    <xf numFmtId="0" fontId="6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7" xfId="0" applyFont="1" applyBorder="1">
      <alignment vertical="center"/>
    </xf>
    <xf numFmtId="0" fontId="5" fillId="0" borderId="8" xfId="0" applyFont="1" applyBorder="1">
      <alignment vertical="center"/>
    </xf>
    <xf numFmtId="0" fontId="6" fillId="0" borderId="9" xfId="0" applyFont="1" applyBorder="1">
      <alignment vertical="center"/>
    </xf>
    <xf numFmtId="0" fontId="6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6" fillId="0" borderId="10" xfId="0" applyFont="1" applyBorder="1">
      <alignment vertical="center"/>
    </xf>
    <xf numFmtId="0" fontId="5" fillId="0" borderId="11" xfId="0" applyFont="1" applyBorder="1">
      <alignment vertical="center"/>
    </xf>
    <xf numFmtId="164" fontId="9" fillId="0" borderId="13" xfId="0" applyNumberFormat="1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5" fillId="0" borderId="13" xfId="1" applyFont="1" applyBorder="1" applyAlignment="1">
      <alignment horizontal="left" vertical="center"/>
    </xf>
    <xf numFmtId="0" fontId="6" fillId="0" borderId="13" xfId="1" applyFont="1" applyBorder="1" applyAlignment="1">
      <alignment horizontal="left" vertical="center"/>
    </xf>
    <xf numFmtId="0" fontId="6" fillId="0" borderId="12" xfId="1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5" fillId="0" borderId="6" xfId="1" applyFont="1" applyBorder="1" applyAlignment="1">
      <alignment horizontal="left" vertical="center"/>
    </xf>
    <xf numFmtId="0" fontId="6" fillId="0" borderId="6" xfId="1" applyFont="1" applyBorder="1" applyAlignment="1">
      <alignment horizontal="left" vertical="center"/>
    </xf>
    <xf numFmtId="0" fontId="6" fillId="0" borderId="7" xfId="1" applyFont="1" applyBorder="1" applyAlignment="1">
      <alignment horizontal="left" vertical="center"/>
    </xf>
    <xf numFmtId="0" fontId="12" fillId="0" borderId="0" xfId="0" applyFont="1">
      <alignment vertical="center"/>
    </xf>
    <xf numFmtId="0" fontId="9" fillId="0" borderId="6" xfId="0" applyFont="1" applyBorder="1" applyAlignment="1">
      <alignment horizontal="left" vertical="top"/>
    </xf>
    <xf numFmtId="0" fontId="14" fillId="0" borderId="6" xfId="2" applyFont="1" applyBorder="1" applyAlignment="1">
      <alignment horizontal="left"/>
    </xf>
    <xf numFmtId="0" fontId="6" fillId="0" borderId="7" xfId="0" applyFont="1" applyBorder="1" applyAlignment="1">
      <alignment horizontal="left" vertical="center"/>
    </xf>
    <xf numFmtId="0" fontId="15" fillId="0" borderId="6" xfId="0" applyFont="1" applyBorder="1" applyAlignment="1">
      <alignment horizontal="left"/>
    </xf>
    <xf numFmtId="0" fontId="15" fillId="0" borderId="7" xfId="2" applyFont="1" applyBorder="1" applyAlignment="1">
      <alignment horizontal="left"/>
    </xf>
    <xf numFmtId="0" fontId="9" fillId="0" borderId="9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15" fillId="0" borderId="9" xfId="2" applyFont="1" applyBorder="1" applyAlignment="1">
      <alignment horizontal="left"/>
    </xf>
    <xf numFmtId="0" fontId="15" fillId="0" borderId="10" xfId="2" applyFont="1" applyBorder="1" applyAlignment="1">
      <alignment horizontal="left"/>
    </xf>
    <xf numFmtId="0" fontId="16" fillId="0" borderId="14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/>
    </xf>
    <xf numFmtId="165" fontId="18" fillId="2" borderId="16" xfId="0" applyNumberFormat="1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 vertical="center"/>
    </xf>
    <xf numFmtId="3" fontId="18" fillId="2" borderId="16" xfId="0" applyNumberFormat="1" applyFont="1" applyFill="1" applyBorder="1" applyAlignment="1">
      <alignment horizontal="center" vertical="center"/>
    </xf>
    <xf numFmtId="166" fontId="19" fillId="2" borderId="16" xfId="0" applyNumberFormat="1" applyFont="1" applyFill="1" applyBorder="1" applyAlignment="1">
      <alignment horizontal="center"/>
    </xf>
    <xf numFmtId="166" fontId="18" fillId="2" borderId="16" xfId="0" applyNumberFormat="1" applyFont="1" applyFill="1" applyBorder="1" applyAlignment="1">
      <alignment horizontal="center"/>
    </xf>
    <xf numFmtId="0" fontId="1" fillId="2" borderId="0" xfId="0" applyFont="1" applyFill="1">
      <alignment vertical="center"/>
    </xf>
    <xf numFmtId="3" fontId="1" fillId="2" borderId="16" xfId="0" applyNumberFormat="1" applyFont="1" applyFill="1" applyBorder="1" applyAlignment="1">
      <alignment horizontal="center" vertical="center"/>
    </xf>
    <xf numFmtId="0" fontId="20" fillId="0" borderId="17" xfId="0" applyFont="1" applyBorder="1">
      <alignment vertical="center"/>
    </xf>
    <xf numFmtId="165" fontId="1" fillId="0" borderId="17" xfId="0" applyNumberFormat="1" applyFont="1" applyBorder="1" applyAlignment="1">
      <alignment horizontal="center" vertical="center"/>
    </xf>
    <xf numFmtId="167" fontId="18" fillId="0" borderId="17" xfId="0" applyNumberFormat="1" applyFont="1" applyBorder="1" applyAlignment="1">
      <alignment horizontal="center"/>
    </xf>
    <xf numFmtId="0" fontId="1" fillId="0" borderId="17" xfId="0" applyFont="1" applyBorder="1" applyAlignment="1">
      <alignment horizontal="center" vertical="center"/>
    </xf>
    <xf numFmtId="165" fontId="18" fillId="0" borderId="17" xfId="0" applyNumberFormat="1" applyFont="1" applyBorder="1" applyAlignment="1">
      <alignment horizontal="center"/>
    </xf>
    <xf numFmtId="166" fontId="1" fillId="0" borderId="17" xfId="0" applyNumberFormat="1" applyFont="1" applyBorder="1" applyAlignment="1">
      <alignment horizontal="center" vertical="center"/>
    </xf>
    <xf numFmtId="166" fontId="1" fillId="0" borderId="17" xfId="0" applyNumberFormat="1" applyFont="1" applyBorder="1">
      <alignment vertical="center"/>
    </xf>
    <xf numFmtId="0" fontId="16" fillId="0" borderId="11" xfId="0" applyFont="1" applyBorder="1" applyAlignment="1">
      <alignment horizontal="left"/>
    </xf>
    <xf numFmtId="0" fontId="16" fillId="0" borderId="13" xfId="0" applyFont="1" applyBorder="1" applyAlignment="1">
      <alignment horizontal="right"/>
    </xf>
    <xf numFmtId="2" fontId="1" fillId="0" borderId="13" xfId="0" applyNumberFormat="1" applyFont="1" applyBorder="1">
      <alignment vertical="center"/>
    </xf>
    <xf numFmtId="0" fontId="1" fillId="0" borderId="13" xfId="0" applyFont="1" applyBorder="1" applyAlignment="1">
      <alignment horizontal="center" vertical="center"/>
    </xf>
    <xf numFmtId="167" fontId="18" fillId="0" borderId="13" xfId="0" applyNumberFormat="1" applyFont="1" applyBorder="1" applyAlignment="1">
      <alignment horizontal="center"/>
    </xf>
    <xf numFmtId="0" fontId="1" fillId="0" borderId="12" xfId="0" applyFont="1" applyBorder="1">
      <alignment vertical="center"/>
    </xf>
    <xf numFmtId="0" fontId="16" fillId="0" borderId="8" xfId="0" applyFont="1" applyBorder="1" applyAlignment="1">
      <alignment horizontal="left"/>
    </xf>
    <xf numFmtId="0" fontId="1" fillId="0" borderId="9" xfId="0" applyFont="1" applyBorder="1">
      <alignment vertical="center"/>
    </xf>
    <xf numFmtId="2" fontId="1" fillId="0" borderId="9" xfId="0" applyNumberFormat="1" applyFont="1" applyBorder="1" applyAlignment="1">
      <alignment horizontal="right" vertical="center"/>
    </xf>
    <xf numFmtId="0" fontId="1" fillId="0" borderId="9" xfId="0" applyFont="1" applyBorder="1" applyAlignment="1">
      <alignment horizontal="center" vertical="center"/>
    </xf>
    <xf numFmtId="167" fontId="18" fillId="0" borderId="9" xfId="0" applyNumberFormat="1" applyFont="1" applyBorder="1" applyAlignment="1">
      <alignment horizontal="center"/>
    </xf>
    <xf numFmtId="2" fontId="21" fillId="0" borderId="9" xfId="0" applyNumberFormat="1" applyFont="1" applyBorder="1" applyAlignment="1">
      <alignment horizontal="right" vertical="top"/>
    </xf>
    <xf numFmtId="2" fontId="1" fillId="0" borderId="10" xfId="0" applyNumberFormat="1" applyFont="1" applyBorder="1" applyAlignment="1">
      <alignment horizontal="right" vertical="center"/>
    </xf>
    <xf numFmtId="0" fontId="5" fillId="3" borderId="5" xfId="0" applyFont="1" applyFill="1" applyBorder="1">
      <alignment vertical="center"/>
    </xf>
    <xf numFmtId="0" fontId="6" fillId="3" borderId="0" xfId="0" applyFont="1" applyFill="1">
      <alignment vertical="center"/>
    </xf>
    <xf numFmtId="0" fontId="5" fillId="0" borderId="18" xfId="0" applyFont="1" applyBorder="1">
      <alignment vertical="center"/>
    </xf>
    <xf numFmtId="0" fontId="11" fillId="0" borderId="19" xfId="0" applyFont="1" applyBorder="1" applyAlignment="1">
      <alignment horizontal="left" vertical="center"/>
    </xf>
    <xf numFmtId="164" fontId="9" fillId="0" borderId="20" xfId="0" applyNumberFormat="1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15" fillId="0" borderId="19" xfId="2" applyFont="1" applyBorder="1" applyAlignment="1">
      <alignment horizontal="left"/>
    </xf>
    <xf numFmtId="0" fontId="13" fillId="0" borderId="22" xfId="0" applyFont="1" applyBorder="1" applyAlignment="1">
      <alignment horizontal="left" vertical="center"/>
    </xf>
    <xf numFmtId="0" fontId="13" fillId="0" borderId="23" xfId="0" applyFont="1" applyBorder="1" applyAlignment="1">
      <alignment horizontal="left" vertical="center"/>
    </xf>
    <xf numFmtId="0" fontId="5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10" fillId="0" borderId="12" xfId="0" applyFont="1" applyBorder="1" applyAlignment="1">
      <alignment horizontal="left"/>
    </xf>
    <xf numFmtId="0" fontId="10" fillId="0" borderId="7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/>
    </xf>
  </cellXfs>
  <cellStyles count="4">
    <cellStyle name="Normal" xfId="0" builtinId="0"/>
    <cellStyle name="Normal 2" xfId="1" xr:uid="{00000000-0005-0000-0000-000006000000}"/>
    <cellStyle name="Normal 2 2" xfId="2" xr:uid="{00000000-0005-0000-0000-000007000000}"/>
    <cellStyle name="Normal 3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</xdr:colOff>
      <xdr:row>0</xdr:row>
      <xdr:rowOff>53280</xdr:rowOff>
    </xdr:from>
    <xdr:to>
      <xdr:col>1</xdr:col>
      <xdr:colOff>553</xdr:colOff>
      <xdr:row>1</xdr:row>
      <xdr:rowOff>16725</xdr:rowOff>
    </xdr:to>
    <xdr:pic>
      <xdr:nvPicPr>
        <xdr:cNvPr id="2" name="Imagen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82880" y="53280"/>
          <a:ext cx="1028520" cy="639720"/>
        </a:xfrm>
        <a:prstGeom prst="rect">
          <a:avLst/>
        </a:prstGeom>
        <a:ln w="0"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WPS">
  <a:themeElements>
    <a:clrScheme name="WP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  <a:tileRect/>
        </a:gradFill>
      </a:fillStyleLst>
      <a:lnStyleLst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showGridLines="0" tabSelected="1" zoomScale="130" zoomScaleNormal="130" workbookViewId="0">
      <selection activeCell="K12" sqref="K12"/>
    </sheetView>
  </sheetViews>
  <sheetFormatPr baseColWidth="10" defaultColWidth="11" defaultRowHeight="13.2"/>
  <cols>
    <col min="1" max="1" width="15.8984375" style="1" customWidth="1"/>
    <col min="2" max="3" width="11" style="1"/>
    <col min="4" max="4" width="11" style="2"/>
    <col min="5" max="5" width="10.19921875" style="2" customWidth="1"/>
    <col min="6" max="6" width="16.19921875" style="2" customWidth="1"/>
    <col min="7" max="7" width="10.8984375" style="2" customWidth="1"/>
    <col min="8" max="8" width="15.19921875" style="1" customWidth="1"/>
    <col min="9" max="233" width="11" style="1"/>
    <col min="234" max="234" width="2.3984375" style="1" customWidth="1"/>
    <col min="235" max="235" width="14" style="1" customWidth="1"/>
    <col min="236" max="236" width="17.8984375" style="1" customWidth="1"/>
    <col min="237" max="237" width="28.3984375" style="1" customWidth="1"/>
    <col min="238" max="238" width="23.59765625" style="1" customWidth="1"/>
    <col min="239" max="239" width="14" style="1" customWidth="1"/>
    <col min="240" max="240" width="21.5" style="1" customWidth="1"/>
    <col min="241" max="241" width="4" style="1" customWidth="1"/>
    <col min="242" max="16384" width="11" style="1"/>
  </cols>
  <sheetData>
    <row r="1" spans="1:12" ht="54" customHeight="1">
      <c r="A1" s="85" t="s">
        <v>0</v>
      </c>
      <c r="B1" s="85"/>
      <c r="C1" s="85"/>
      <c r="D1" s="85"/>
      <c r="E1" s="85"/>
      <c r="F1" s="85"/>
      <c r="G1" s="85"/>
      <c r="H1" s="85"/>
    </row>
    <row r="2" spans="1:12" s="6" customFormat="1" ht="12">
      <c r="A2" s="3" t="s">
        <v>1</v>
      </c>
      <c r="B2" s="4"/>
      <c r="C2" s="4"/>
      <c r="D2" s="5"/>
      <c r="E2" s="5"/>
      <c r="G2" s="7" t="s">
        <v>2</v>
      </c>
      <c r="H2" s="8"/>
    </row>
    <row r="3" spans="1:12" s="6" customFormat="1" ht="12">
      <c r="A3" s="9" t="s">
        <v>3</v>
      </c>
      <c r="B3" s="10"/>
      <c r="C3" s="10"/>
      <c r="D3" s="11"/>
      <c r="E3" s="11"/>
      <c r="F3" s="12" t="s">
        <v>4</v>
      </c>
      <c r="G3" s="13">
        <v>11</v>
      </c>
      <c r="H3" s="14"/>
    </row>
    <row r="4" spans="1:12" s="6" customFormat="1" ht="12">
      <c r="A4" s="15" t="s">
        <v>5</v>
      </c>
      <c r="B4" s="16"/>
      <c r="C4" s="16"/>
      <c r="D4" s="17"/>
      <c r="E4" s="17"/>
      <c r="F4" s="17"/>
      <c r="G4" s="18"/>
      <c r="H4" s="19"/>
    </row>
    <row r="5" spans="1:12" s="6" customFormat="1" ht="15" customHeight="1">
      <c r="A5" s="20" t="s">
        <v>6</v>
      </c>
      <c r="B5" s="86" t="s">
        <v>7</v>
      </c>
      <c r="C5" s="86"/>
      <c r="D5" s="86"/>
      <c r="E5" s="86"/>
      <c r="F5" s="86"/>
      <c r="G5" s="86"/>
      <c r="H5" s="86"/>
    </row>
    <row r="6" spans="1:12" s="6" customFormat="1" ht="12.75" customHeight="1">
      <c r="A6" s="9" t="s">
        <v>8</v>
      </c>
      <c r="B6" s="87" t="s">
        <v>32</v>
      </c>
      <c r="C6" s="87"/>
      <c r="D6" s="87"/>
      <c r="E6" s="87"/>
      <c r="F6" s="87"/>
      <c r="G6" s="87"/>
      <c r="H6" s="87"/>
    </row>
    <row r="7" spans="1:12" s="6" customFormat="1" ht="19.5" customHeight="1">
      <c r="A7" s="15" t="s">
        <v>9</v>
      </c>
      <c r="B7" s="88" t="s">
        <v>50</v>
      </c>
      <c r="C7" s="88"/>
      <c r="D7" s="88"/>
      <c r="E7" s="88"/>
      <c r="F7" s="88"/>
      <c r="G7" s="88"/>
      <c r="H7" s="88"/>
    </row>
    <row r="8" spans="1:12" s="6" customFormat="1" ht="16.5" customHeight="1">
      <c r="A8" s="20" t="s">
        <v>10</v>
      </c>
      <c r="B8" s="78">
        <v>45669</v>
      </c>
      <c r="C8" s="21"/>
      <c r="D8" s="21"/>
      <c r="E8" s="22"/>
      <c r="F8" s="23" t="s">
        <v>11</v>
      </c>
      <c r="G8" s="24" t="s">
        <v>38</v>
      </c>
      <c r="H8" s="25"/>
    </row>
    <row r="9" spans="1:12" s="6" customFormat="1" ht="12">
      <c r="A9" s="76" t="s">
        <v>12</v>
      </c>
      <c r="B9" s="79" t="s">
        <v>42</v>
      </c>
      <c r="C9" s="77"/>
      <c r="D9" s="27"/>
      <c r="E9" s="27"/>
      <c r="F9" s="28" t="s">
        <v>13</v>
      </c>
      <c r="G9" s="29" t="s">
        <v>39</v>
      </c>
      <c r="H9" s="30"/>
      <c r="K9" s="31"/>
      <c r="L9" s="31"/>
    </row>
    <row r="10" spans="1:12" s="6" customFormat="1" ht="12">
      <c r="A10" s="9" t="s">
        <v>14</v>
      </c>
      <c r="B10" s="79" t="s">
        <v>37</v>
      </c>
      <c r="C10" s="26"/>
      <c r="D10" s="32"/>
      <c r="E10" s="27"/>
      <c r="F10" s="82" t="s">
        <v>15</v>
      </c>
      <c r="G10" s="33" t="s">
        <v>40</v>
      </c>
      <c r="H10" s="34"/>
    </row>
    <row r="11" spans="1:12" s="6" customFormat="1" ht="12">
      <c r="A11" s="74" t="s">
        <v>16</v>
      </c>
      <c r="B11" s="75" t="s">
        <v>48</v>
      </c>
      <c r="D11" s="35"/>
      <c r="E11" s="80"/>
      <c r="F11" s="84" t="s">
        <v>17</v>
      </c>
      <c r="G11" s="81" t="s">
        <v>35</v>
      </c>
      <c r="H11" s="36"/>
    </row>
    <row r="12" spans="1:12" s="6" customFormat="1" ht="12">
      <c r="A12" s="9" t="s">
        <v>34</v>
      </c>
      <c r="B12" s="37" t="s">
        <v>41</v>
      </c>
      <c r="C12" s="37"/>
      <c r="D12" s="37"/>
      <c r="E12" s="38"/>
      <c r="F12" s="83"/>
      <c r="G12" s="39"/>
      <c r="H12" s="40"/>
    </row>
    <row r="13" spans="1:12" ht="36" customHeight="1">
      <c r="A13" s="41" t="s">
        <v>18</v>
      </c>
      <c r="B13" s="42" t="s">
        <v>19</v>
      </c>
      <c r="C13" s="42" t="s">
        <v>20</v>
      </c>
      <c r="D13" s="41" t="s">
        <v>21</v>
      </c>
      <c r="E13" s="41" t="s">
        <v>22</v>
      </c>
      <c r="F13" s="42" t="s">
        <v>23</v>
      </c>
      <c r="G13" s="42" t="s">
        <v>24</v>
      </c>
      <c r="H13" s="42" t="s">
        <v>25</v>
      </c>
    </row>
    <row r="14" spans="1:12" ht="24" customHeight="1">
      <c r="A14" s="43" t="s">
        <v>26</v>
      </c>
      <c r="B14" s="44"/>
      <c r="C14" s="44"/>
      <c r="D14" s="44"/>
      <c r="E14" s="44"/>
      <c r="F14" s="44"/>
      <c r="G14" s="45" t="s">
        <v>35</v>
      </c>
      <c r="H14" s="43"/>
    </row>
    <row r="15" spans="1:12" s="52" customFormat="1" ht="13.5" customHeight="1">
      <c r="A15" s="46" t="s">
        <v>43</v>
      </c>
      <c r="B15" s="47">
        <v>5</v>
      </c>
      <c r="C15" s="47" t="s">
        <v>28</v>
      </c>
      <c r="D15" s="48" t="s">
        <v>44</v>
      </c>
      <c r="E15" s="49">
        <v>388</v>
      </c>
      <c r="F15" s="47">
        <f t="shared" ref="F15:F23" si="0">+B15*E15</f>
        <v>1940</v>
      </c>
      <c r="G15" s="50">
        <v>26</v>
      </c>
      <c r="H15" s="51">
        <f t="shared" ref="H15:H22" si="1">+G15*E15</f>
        <v>10088</v>
      </c>
    </row>
    <row r="16" spans="1:12" s="52" customFormat="1" ht="13.5" customHeight="1">
      <c r="A16" s="46" t="s">
        <v>43</v>
      </c>
      <c r="B16" s="47">
        <v>5</v>
      </c>
      <c r="C16" s="47" t="s">
        <v>28</v>
      </c>
      <c r="D16" s="46" t="s">
        <v>45</v>
      </c>
      <c r="E16" s="53">
        <v>582</v>
      </c>
      <c r="F16" s="47">
        <f t="shared" si="0"/>
        <v>2910</v>
      </c>
      <c r="G16" s="50">
        <v>20</v>
      </c>
      <c r="H16" s="51">
        <f t="shared" si="1"/>
        <v>11640</v>
      </c>
    </row>
    <row r="17" spans="1:8" s="52" customFormat="1" ht="13.5" customHeight="1">
      <c r="A17" s="46" t="s">
        <v>43</v>
      </c>
      <c r="B17" s="47">
        <v>2.5</v>
      </c>
      <c r="C17" s="47" t="s">
        <v>28</v>
      </c>
      <c r="D17" s="48" t="s">
        <v>46</v>
      </c>
      <c r="E17" s="53">
        <v>437</v>
      </c>
      <c r="F17" s="47">
        <f t="shared" si="0"/>
        <v>1092.5</v>
      </c>
      <c r="G17" s="50">
        <v>18.5</v>
      </c>
      <c r="H17" s="51">
        <f t="shared" si="1"/>
        <v>8084.5</v>
      </c>
    </row>
    <row r="18" spans="1:8" s="52" customFormat="1" ht="13.5" customHeight="1">
      <c r="A18" s="46" t="s">
        <v>43</v>
      </c>
      <c r="B18" s="47">
        <v>2.5</v>
      </c>
      <c r="C18" s="47" t="s">
        <v>28</v>
      </c>
      <c r="D18" s="48" t="s">
        <v>47</v>
      </c>
      <c r="E18" s="53">
        <v>1291</v>
      </c>
      <c r="F18" s="47">
        <f t="shared" si="0"/>
        <v>3227.5</v>
      </c>
      <c r="G18" s="50">
        <v>18.5</v>
      </c>
      <c r="H18" s="51">
        <f t="shared" si="1"/>
        <v>23883.5</v>
      </c>
    </row>
    <row r="19" spans="1:8" s="52" customFormat="1" ht="13.5" customHeight="1">
      <c r="A19" s="46" t="s">
        <v>43</v>
      </c>
      <c r="B19" s="47">
        <v>2.5</v>
      </c>
      <c r="C19" s="47" t="s">
        <v>28</v>
      </c>
      <c r="D19" s="48" t="s">
        <v>29</v>
      </c>
      <c r="E19" s="53">
        <v>468</v>
      </c>
      <c r="F19" s="47">
        <f t="shared" si="0"/>
        <v>1170</v>
      </c>
      <c r="G19" s="50">
        <v>20</v>
      </c>
      <c r="H19" s="51">
        <f t="shared" si="1"/>
        <v>9360</v>
      </c>
    </row>
    <row r="20" spans="1:8" s="52" customFormat="1" ht="13.5" customHeight="1">
      <c r="A20" s="46" t="s">
        <v>43</v>
      </c>
      <c r="B20" s="47">
        <v>2.5</v>
      </c>
      <c r="C20" s="47" t="s">
        <v>28</v>
      </c>
      <c r="D20" s="48" t="s">
        <v>44</v>
      </c>
      <c r="E20" s="53">
        <v>271</v>
      </c>
      <c r="F20" s="47">
        <f t="shared" si="0"/>
        <v>677.5</v>
      </c>
      <c r="G20" s="50">
        <v>14.5</v>
      </c>
      <c r="H20" s="51">
        <f t="shared" si="1"/>
        <v>3929.5</v>
      </c>
    </row>
    <row r="21" spans="1:8" s="52" customFormat="1" ht="13.5" customHeight="1">
      <c r="A21" s="46" t="s">
        <v>27</v>
      </c>
      <c r="B21" s="47">
        <v>5</v>
      </c>
      <c r="C21" s="47" t="s">
        <v>28</v>
      </c>
      <c r="D21" s="48" t="s">
        <v>45</v>
      </c>
      <c r="E21" s="53">
        <v>182</v>
      </c>
      <c r="F21" s="47">
        <f t="shared" si="0"/>
        <v>910</v>
      </c>
      <c r="G21" s="50">
        <v>20</v>
      </c>
      <c r="H21" s="51">
        <f t="shared" si="1"/>
        <v>3640</v>
      </c>
    </row>
    <row r="22" spans="1:8" s="52" customFormat="1" ht="13.5" customHeight="1">
      <c r="A22" s="46" t="s">
        <v>27</v>
      </c>
      <c r="B22" s="47">
        <v>2.5</v>
      </c>
      <c r="C22" s="47" t="s">
        <v>28</v>
      </c>
      <c r="D22" s="48" t="s">
        <v>47</v>
      </c>
      <c r="E22" s="53">
        <v>334</v>
      </c>
      <c r="F22" s="47">
        <f t="shared" si="0"/>
        <v>835</v>
      </c>
      <c r="G22" s="50">
        <v>18.5</v>
      </c>
      <c r="H22" s="51">
        <f t="shared" si="1"/>
        <v>6179</v>
      </c>
    </row>
    <row r="23" spans="1:8" s="52" customFormat="1" ht="13.5" customHeight="1">
      <c r="A23" s="46" t="s">
        <v>27</v>
      </c>
      <c r="B23" s="47">
        <v>2.5</v>
      </c>
      <c r="C23" s="47" t="s">
        <v>28</v>
      </c>
      <c r="D23" s="48" t="s">
        <v>29</v>
      </c>
      <c r="E23" s="53">
        <v>56</v>
      </c>
      <c r="F23" s="47">
        <f t="shared" si="0"/>
        <v>140</v>
      </c>
      <c r="G23" s="50">
        <v>20</v>
      </c>
      <c r="H23" s="51">
        <f t="shared" ref="H23" si="2">+G23*E23</f>
        <v>1120</v>
      </c>
    </row>
    <row r="24" spans="1:8" s="52" customFormat="1" ht="13.5" customHeight="1">
      <c r="A24" s="46" t="s">
        <v>27</v>
      </c>
      <c r="B24" s="47">
        <v>2.5</v>
      </c>
      <c r="C24" s="47" t="s">
        <v>28</v>
      </c>
      <c r="D24" s="48" t="s">
        <v>44</v>
      </c>
      <c r="E24" s="53">
        <v>311</v>
      </c>
      <c r="F24" s="47">
        <f t="shared" ref="F24" si="3">+B24*E24</f>
        <v>777.5</v>
      </c>
      <c r="G24" s="50">
        <v>14.5</v>
      </c>
      <c r="H24" s="51">
        <f t="shared" ref="H24" si="4">+G24*E24</f>
        <v>4509.5</v>
      </c>
    </row>
    <row r="25" spans="1:8" s="52" customFormat="1" ht="13.5" customHeight="1">
      <c r="A25" s="46"/>
      <c r="B25" s="47"/>
      <c r="C25" s="47"/>
      <c r="D25" s="48"/>
      <c r="E25" s="53"/>
      <c r="F25" s="47"/>
      <c r="G25" s="50"/>
      <c r="H25" s="51"/>
    </row>
    <row r="26" spans="1:8" s="52" customFormat="1" ht="13.5" customHeight="1">
      <c r="A26" s="46"/>
      <c r="B26" s="47"/>
      <c r="C26" s="47"/>
      <c r="D26" s="48"/>
      <c r="E26" s="53"/>
      <c r="F26" s="47"/>
      <c r="G26" s="50"/>
      <c r="H26" s="51"/>
    </row>
    <row r="27" spans="1:8" s="52" customFormat="1" ht="13.5" customHeight="1">
      <c r="A27" s="46"/>
      <c r="B27" s="47"/>
      <c r="C27" s="47"/>
      <c r="D27" s="48"/>
      <c r="E27" s="53"/>
      <c r="F27" s="47"/>
      <c r="G27" s="50"/>
      <c r="H27" s="51"/>
    </row>
    <row r="28" spans="1:8" s="52" customFormat="1" ht="13.5" customHeight="1">
      <c r="A28" s="46"/>
      <c r="B28" s="47"/>
      <c r="C28" s="47"/>
      <c r="D28" s="48"/>
      <c r="E28" s="53"/>
      <c r="F28" s="47"/>
      <c r="G28" s="50"/>
      <c r="H28" s="51"/>
    </row>
    <row r="29" spans="1:8" s="52" customFormat="1" ht="13.5" customHeight="1">
      <c r="A29" s="46"/>
      <c r="B29" s="47"/>
      <c r="C29" s="47"/>
      <c r="D29" s="48"/>
      <c r="E29" s="53"/>
      <c r="F29" s="47"/>
      <c r="G29" s="50"/>
      <c r="H29" s="51"/>
    </row>
    <row r="30" spans="1:8" s="52" customFormat="1" ht="13.5" customHeight="1">
      <c r="A30" s="46"/>
      <c r="B30" s="47"/>
      <c r="C30" s="47"/>
      <c r="D30" s="48"/>
      <c r="E30" s="53"/>
      <c r="F30" s="47"/>
      <c r="G30" s="50"/>
      <c r="H30" s="51"/>
    </row>
    <row r="31" spans="1:8" s="52" customFormat="1" ht="13.5" customHeight="1">
      <c r="A31" s="46"/>
      <c r="B31" s="47"/>
      <c r="C31" s="47"/>
      <c r="D31" s="48"/>
      <c r="E31" s="53"/>
      <c r="F31" s="47"/>
      <c r="G31" s="50"/>
      <c r="H31" s="51"/>
    </row>
    <row r="32" spans="1:8" ht="13.5" customHeight="1">
      <c r="A32" s="46"/>
      <c r="B32" s="47"/>
      <c r="C32" s="47"/>
      <c r="D32" s="48"/>
      <c r="E32" s="53"/>
      <c r="F32" s="47"/>
      <c r="G32" s="50"/>
      <c r="H32" s="51"/>
    </row>
    <row r="33" spans="1:8" ht="13.5" customHeight="1">
      <c r="A33" s="46"/>
      <c r="B33" s="47"/>
      <c r="C33" s="47"/>
      <c r="D33" s="48"/>
      <c r="E33" s="53"/>
      <c r="F33" s="47"/>
      <c r="G33" s="50"/>
      <c r="H33" s="51"/>
    </row>
    <row r="34" spans="1:8" ht="13.5" customHeight="1">
      <c r="A34" s="46"/>
      <c r="B34" s="47"/>
      <c r="C34" s="47"/>
      <c r="D34" s="48"/>
      <c r="E34" s="53"/>
      <c r="F34" s="47"/>
      <c r="G34" s="50"/>
      <c r="H34" s="51"/>
    </row>
    <row r="35" spans="1:8" ht="13.5" customHeight="1">
      <c r="A35" s="46"/>
      <c r="B35" s="47"/>
      <c r="C35" s="47"/>
      <c r="D35" s="48"/>
      <c r="E35" s="53"/>
      <c r="F35" s="47"/>
      <c r="G35" s="50"/>
      <c r="H35" s="51"/>
    </row>
    <row r="36" spans="1:8" ht="13.5" customHeight="1">
      <c r="A36" s="46"/>
      <c r="B36" s="47"/>
      <c r="C36" s="47"/>
      <c r="D36" s="48"/>
      <c r="E36" s="53"/>
      <c r="F36" s="47"/>
      <c r="G36" s="50"/>
      <c r="H36" s="51"/>
    </row>
    <row r="37" spans="1:8" ht="13.5" customHeight="1">
      <c r="A37" s="54"/>
      <c r="B37" s="55"/>
      <c r="C37" s="55"/>
      <c r="D37" s="56"/>
      <c r="E37" s="57"/>
      <c r="F37" s="58"/>
      <c r="G37" s="59"/>
      <c r="H37" s="60"/>
    </row>
    <row r="38" spans="1:8" ht="15.75" customHeight="1">
      <c r="A38" s="61" t="s">
        <v>30</v>
      </c>
      <c r="B38" s="62"/>
      <c r="C38" s="62"/>
      <c r="D38" s="63">
        <f>SUM(F15:F37)</f>
        <v>13680</v>
      </c>
      <c r="E38" s="64"/>
      <c r="F38" s="65"/>
      <c r="G38" s="62" t="s">
        <v>31</v>
      </c>
      <c r="H38" s="66">
        <f>SUM(E15:E37)</f>
        <v>4320</v>
      </c>
    </row>
    <row r="39" spans="1:8" ht="15.75" customHeight="1" thickBot="1">
      <c r="A39" s="67" t="s">
        <v>33</v>
      </c>
      <c r="B39" s="68"/>
      <c r="C39" s="68"/>
      <c r="D39" s="69" t="s">
        <v>49</v>
      </c>
      <c r="E39" s="70"/>
      <c r="F39" s="71"/>
      <c r="G39" s="72" t="s">
        <v>36</v>
      </c>
      <c r="H39" s="73">
        <f>SUM(H15:H37)</f>
        <v>82434</v>
      </c>
    </row>
  </sheetData>
  <mergeCells count="4">
    <mergeCell ref="A1:H1"/>
    <mergeCell ref="B5:H5"/>
    <mergeCell ref="B6:H6"/>
    <mergeCell ref="B7:H7"/>
  </mergeCells>
  <pageMargins left="0.25" right="0.25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amer</dc:creator>
  <dc:description/>
  <cp:lastModifiedBy>Matias Benavides</cp:lastModifiedBy>
  <cp:revision>1</cp:revision>
  <cp:lastPrinted>2024-12-04T18:20:13Z</cp:lastPrinted>
  <dcterms:created xsi:type="dcterms:W3CDTF">2024-11-04T17:21:45Z</dcterms:created>
  <dcterms:modified xsi:type="dcterms:W3CDTF">2025-01-24T15:34:28Z</dcterms:modified>
  <dc:language>en-NZ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185A8ADDBCB725F9D92C2967B92B554A_41</vt:lpwstr>
  </property>
  <property fmtid="{D5CDD505-2E9C-101B-9397-08002B2CF9AE}" pid="3" name="KSOProductBuildVer">
    <vt:lpwstr>2052-6.10.1.8873</vt:lpwstr>
  </property>
</Properties>
</file>